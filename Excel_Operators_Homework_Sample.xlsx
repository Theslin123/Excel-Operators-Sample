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B6F49F-8E0B-4DC6-BEDF-2D3F7BCE16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s" sheetId="1" r:id="rId1"/>
    <sheet name="Homework" sheetId="2" r:id="rId2"/>
    <sheet name="Instructions" sheetId="3" r:id="rId3"/>
    <sheet name="Answers" sheetId="6" r:id="rId4"/>
  </sheets>
  <definedNames>
    <definedName name="_xlnm._FilterDatabase" localSheetId="0" hidden="1">Employees!$A$1:$J$16</definedName>
    <definedName name="_xlnm._FilterDatabase" localSheetId="1" hidden="1">Homework!$A$1:$D$21</definedName>
    <definedName name="_xlnm._FilterDatabase" localSheetId="2" hidden="1">Instructions!$A$1:$A$6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6" l="1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AC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B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C19" i="6"/>
  <c r="Q19" i="6"/>
  <c r="AE2" i="6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D2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V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N2" i="6" l="1"/>
  <c r="K2" i="6"/>
  <c r="R2" i="6"/>
  <c r="Q2" i="6"/>
  <c r="P2" i="6"/>
  <c r="M2" i="6"/>
  <c r="AA2" i="6"/>
  <c r="U2" i="6"/>
  <c r="L2" i="6"/>
  <c r="Z2" i="6"/>
</calcChain>
</file>

<file path=xl/sharedStrings.xml><?xml version="1.0" encoding="utf-8"?>
<sst xmlns="http://schemas.openxmlformats.org/spreadsheetml/2006/main" count="203" uniqueCount="110">
  <si>
    <t>Employee_ID</t>
  </si>
  <si>
    <t>Employee_Name</t>
  </si>
  <si>
    <t>Department</t>
  </si>
  <si>
    <t>Location</t>
  </si>
  <si>
    <t>Salary</t>
  </si>
  <si>
    <t>Hire_Date</t>
  </si>
  <si>
    <t>Projects_Completed</t>
  </si>
  <si>
    <t>Training_Hours</t>
  </si>
  <si>
    <t>Attendance_Bonus_Eligible</t>
  </si>
  <si>
    <t>Performance_Target_Met</t>
  </si>
  <si>
    <t>Ava Rodriguez</t>
  </si>
  <si>
    <t>Finance</t>
  </si>
  <si>
    <t>Chennai</t>
  </si>
  <si>
    <t>David Johnson</t>
  </si>
  <si>
    <t>IT</t>
  </si>
  <si>
    <t>Bangalore</t>
  </si>
  <si>
    <t>Chris Wilson</t>
  </si>
  <si>
    <t>Emily Davis</t>
  </si>
  <si>
    <t>Sophia Brown</t>
  </si>
  <si>
    <t>HR</t>
  </si>
  <si>
    <t>Hyderabad</t>
  </si>
  <si>
    <t>Michael Smith</t>
  </si>
  <si>
    <t>Olivia Taylor</t>
  </si>
  <si>
    <t>James Anderson</t>
  </si>
  <si>
    <t>Marketing</t>
  </si>
  <si>
    <t>Pune</t>
  </si>
  <si>
    <t>Emma Thomas</t>
  </si>
  <si>
    <t>Daniel White</t>
  </si>
  <si>
    <t>Mia Martin</t>
  </si>
  <si>
    <t>Noah Clark</t>
  </si>
  <si>
    <t>Isabella Lewis</t>
  </si>
  <si>
    <t>Sales</t>
  </si>
  <si>
    <t>Kochi</t>
  </si>
  <si>
    <t>Ethan Walker</t>
  </si>
  <si>
    <t>Amelia Hall</t>
  </si>
  <si>
    <t>Question_No</t>
  </si>
  <si>
    <t>Topic</t>
  </si>
  <si>
    <t>Homework_Question</t>
  </si>
  <si>
    <t>Operator_or_Function</t>
  </si>
  <si>
    <t>Arithmetic</t>
  </si>
  <si>
    <t>Calculate annual salary assuming monthly salary is Salary / 12. Use arithmetic operators to calculate monthly salary in a new column.</t>
  </si>
  <si>
    <t>Arithmetic operators (+, -, *, /)</t>
  </si>
  <si>
    <t>Calculate a 10% salary increase for each employee.</t>
  </si>
  <si>
    <t>*</t>
  </si>
  <si>
    <t>Calculate the annual bonus as 8% of Salary.</t>
  </si>
  <si>
    <t>Calculate the difference between Salary and 60,000.</t>
  </si>
  <si>
    <t>-</t>
  </si>
  <si>
    <t>Calculate a project allowance of 1,500 per completed project.</t>
  </si>
  <si>
    <t>Comparison</t>
  </si>
  <si>
    <t>Return TRUE for employees whose Salary is greater than 80,000.</t>
  </si>
  <si>
    <t>&gt;</t>
  </si>
  <si>
    <t>Return TRUE for employees whose Salary is equal to 75,000.</t>
  </si>
  <si>
    <t>=</t>
  </si>
  <si>
    <t>Identify employees whose Salary is not equal to 70,000.</t>
  </si>
  <si>
    <t>&lt;&gt;</t>
  </si>
  <si>
    <t>Check whether Projects_Completed is greater than or equal to 4.</t>
  </si>
  <si>
    <t>&gt;=</t>
  </si>
  <si>
    <t>Check whether Training_Hours is less than 3.</t>
  </si>
  <si>
    <t>&lt;</t>
  </si>
  <si>
    <t>Logical</t>
  </si>
  <si>
    <t>Mark employees as eligible only when Salary is at least 75,000 AND Performance_Target_Met is 1.</t>
  </si>
  <si>
    <t>AND</t>
  </si>
  <si>
    <t>Mark employees as eligible when Department is Finance OR IT.</t>
  </si>
  <si>
    <t>OR</t>
  </si>
  <si>
    <t>Identify employees who are NOT eligible for an attendance bonus.</t>
  </si>
  <si>
    <t>NOT</t>
  </si>
  <si>
    <t>Return TRUE when Salary is at least 80,000 OR Projects_Completed is at least 4.</t>
  </si>
  <si>
    <t>Text</t>
  </si>
  <si>
    <t>Combine Employee_Name and Department into one cell, separated by a hyphen.</t>
  </si>
  <si>
    <t>&amp;</t>
  </si>
  <si>
    <t>Mixed</t>
  </si>
  <si>
    <t>Check whether the employee is in IT AND Salary is greater than 70,000.</t>
  </si>
  <si>
    <t>AND, =, &gt;</t>
  </si>
  <si>
    <t>Check whether the employee is in Finance OR salary is below 60,000.</t>
  </si>
  <si>
    <t>OR, =, &lt;</t>
  </si>
  <si>
    <t>Calculate a proposed salary after a 5% increase, then compare it with 80,000.</t>
  </si>
  <si>
    <t>*, +, &gt;</t>
  </si>
  <si>
    <t>Calculate a performance allowance of 2,000 if Performance_Target_Met is 1, otherwise 0. Use IF with a comparison operator.</t>
  </si>
  <si>
    <t>IF, =</t>
  </si>
  <si>
    <t>Create a final eligibility check: Salary &gt;= 75,000 AND (Attendance_Bonus_Eligible = 1 OR Performance_Target_Met = 1).</t>
  </si>
  <si>
    <t>AND, OR, &gt;=, =</t>
  </si>
  <si>
    <t>Excel Operators Homework</t>
  </si>
  <si>
    <t>Use the Employees sheet to answer the questions in the Homework sheet.</t>
  </si>
  <si>
    <t>Use Excel formulas where appropriate. Do not overwrite the original data.</t>
  </si>
  <si>
    <t>Assume Attendance_Bonus_Eligible and Performance_Target_Met use 1 = Yes and 0 = No.</t>
  </si>
  <si>
    <t>Suggested operators: +, -, *, /, ^, %, =, &gt;, &lt;, &gt;=, &lt;=, &lt;&gt;, &amp;, AND, OR, NOT.</t>
  </si>
  <si>
    <t>Save your completed workbook with your answers or add a separate Answers sheet.</t>
  </si>
  <si>
    <t>Upload the answer file to GitHub repository</t>
  </si>
  <si>
    <t>Monthly Salary</t>
  </si>
  <si>
    <t>Salary Increase 10%</t>
  </si>
  <si>
    <t>Project Allowance</t>
  </si>
  <si>
    <t>Eligibity Check</t>
  </si>
  <si>
    <t>5% of Salary</t>
  </si>
  <si>
    <t>Proposed Salary &gt;80000</t>
  </si>
  <si>
    <t>Salary&gt;80000</t>
  </si>
  <si>
    <t>Salary&lt;&gt;70000</t>
  </si>
  <si>
    <t>Project Completed &gt;=4</t>
  </si>
  <si>
    <t>Training Hours &lt;3</t>
  </si>
  <si>
    <t>Finance OR IT</t>
  </si>
  <si>
    <t>NOT Eligible for an Attendance Bonus</t>
  </si>
  <si>
    <t xml:space="preserve">Salary atleast 80000 OR Project complete atleast 4 </t>
  </si>
  <si>
    <t>Employee Name &amp; Department</t>
  </si>
  <si>
    <t>Performance Allowance 2000 IF Performance Target Met is 1</t>
  </si>
  <si>
    <t>Annual Bonus 8%</t>
  </si>
  <si>
    <t>Difference b/w Salary and 60000</t>
  </si>
  <si>
    <t>Salary = 75000</t>
  </si>
  <si>
    <t>Eligiblity(Salary atleast 75000 AND Performance Target Met 1)</t>
  </si>
  <si>
    <t xml:space="preserve"> Dept Finance OR Salary below 60000</t>
  </si>
  <si>
    <t>Dept IT AND Salary &gt; 70000</t>
  </si>
  <si>
    <t xml:space="preserve"> Salary + 5%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</si>
</sst>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yyyy\-mm\-dd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166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5" formatCode="yyyy\-mm\-dd"/>
      <alignment horizontal="general" vertical="top" textRotation="0" wrapText="1" indent="0" justifyLastLine="0" shrinkToFit="0" readingOrder="0"/>
    </dxf>
    <dxf>
      <numFmt numFmtId="164" formatCode="&quot;₹&quot;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273CC-FF0B-45DC-B820-1CBA488ECC43}" name="Table1" displayName="Table1" ref="A1:AE16" totalsRowShown="0" headerRowDxfId="19">
  <autoFilter ref="A1:AE16" xr:uid="{CEA273CC-FF0B-45DC-B820-1CBA488ECC43}"/>
  <tableColumns count="31">
    <tableColumn id="1" xr3:uid="{870A7B3E-AEB5-471C-9750-9DE2FBB90C10}" name="Employee_ID" dataDxfId="18"/>
    <tableColumn id="2" xr3:uid="{1249ECBA-EBA5-49C5-A51A-37E070048E80}" name="Employee_Name" dataDxfId="17"/>
    <tableColumn id="3" xr3:uid="{0C78050E-0737-4190-BD2B-4EA64EDDEA36}" name="Department" dataDxfId="16"/>
    <tableColumn id="4" xr3:uid="{AAD0D9E2-3DB1-4F93-8BEB-FFCBCBAF4DD8}" name="Location" dataDxfId="15"/>
    <tableColumn id="5" xr3:uid="{720B7A05-1C4D-418E-A268-30DDAEA001CF}" name="Salary" dataDxfId="14"/>
    <tableColumn id="6" xr3:uid="{EC9CE11B-965E-4AA4-BA3D-536DD21A0E83}" name="Hire_Date" dataDxfId="13"/>
    <tableColumn id="7" xr3:uid="{9026253A-2949-4AAC-936A-3673C7EEB13B}" name="Projects_Completed" dataDxfId="12"/>
    <tableColumn id="8" xr3:uid="{16A37887-E9E8-415A-9526-A100DF1FB194}" name="Training_Hours" dataDxfId="11"/>
    <tableColumn id="9" xr3:uid="{D0B42507-9CB0-4CEF-9067-F2A0680474C9}" name="Attendance_Bonus_Eligible" dataDxfId="10"/>
    <tableColumn id="10" xr3:uid="{3A1AA654-1621-41E0-BD39-DDDCD82E4169}" name="Performance_Target_Met" dataDxfId="9"/>
    <tableColumn id="11" xr3:uid="{163705E4-3393-41DF-BB3E-DF03EBC728AF}" name="Monthly Salary" dataDxfId="8">
      <calculatedColumnFormula>E2/12</calculatedColumnFormula>
    </tableColumn>
    <tableColumn id="12" xr3:uid="{022A38C7-4084-441C-BFD8-43DB6CA6D2DD}" name="Salary Increase 10%" dataDxfId="7">
      <calculatedColumnFormula>E2*10%</calculatedColumnFormula>
    </tableColumn>
    <tableColumn id="13" xr3:uid="{804B539D-1724-4D9A-A9F2-24B9DF72A4CF}" name="Annual Bonus 8%" dataDxfId="6">
      <calculatedColumnFormula>E2*8%</calculatedColumnFormula>
    </tableColumn>
    <tableColumn id="14" xr3:uid="{51EE7420-68F3-4036-BAFD-C6CEB80FE599}" name="Difference b/w Salary and 60000" dataDxfId="5">
      <calculatedColumnFormula>E2-60000</calculatedColumnFormula>
    </tableColumn>
    <tableColumn id="15" xr3:uid="{F51F7159-4298-46DC-8FEC-10431BCEC3DF}" name="Project Allowance">
      <calculatedColumnFormula>G2*1500</calculatedColumnFormula>
    </tableColumn>
    <tableColumn id="16" xr3:uid="{387AECD5-D74E-473A-9971-D6F3F97CDA66}" name="Salary&gt;80000">
      <calculatedColumnFormula>E2&gt;80000</calculatedColumnFormula>
    </tableColumn>
    <tableColumn id="17" xr3:uid="{383B5615-1ED8-4787-A58E-7F502556184E}" name="Salary = 75000">
      <calculatedColumnFormula>E2=75000</calculatedColumnFormula>
    </tableColumn>
    <tableColumn id="18" xr3:uid="{54B3734B-86E6-42CC-9905-6CFCEAAAF908}" name="Salary&lt;&gt;70000">
      <calculatedColumnFormula>E2&lt;&gt;70000</calculatedColumnFormula>
    </tableColumn>
    <tableColumn id="19" xr3:uid="{9F268887-B0FA-4D57-8072-6A1279C772E0}" name="Project Completed &gt;=4">
      <calculatedColumnFormula>G2&gt;=4</calculatedColumnFormula>
    </tableColumn>
    <tableColumn id="20" xr3:uid="{D0019E57-8DE8-4304-B420-3EB79F254C49}" name="Training Hours &lt;3">
      <calculatedColumnFormula>H2&lt;3</calculatedColumnFormula>
    </tableColumn>
    <tableColumn id="21" xr3:uid="{5B8D27A5-C4E6-4567-BBC1-CFFD8A73F59B}" name="Eligiblity(Salary atleast 75000 AND Performance Target Met 1)">
      <calculatedColumnFormula>IF(AND(E2&gt;=75000,J2=1),"Eligible","Not Eligible")</calculatedColumnFormula>
    </tableColumn>
    <tableColumn id="22" xr3:uid="{261DC687-11B3-48F8-9F53-3ABE66195722}" name="Finance OR IT">
      <calculatedColumnFormula>IF(OR(C2="Finance",C2="IT"),"Eligible","Not Eligible")</calculatedColumnFormula>
    </tableColumn>
    <tableColumn id="23" xr3:uid="{84E58A25-545F-4AF7-BB1D-C4724AC62868}" name="NOT Eligible for an Attendance Bonus" dataDxfId="0">
      <calculatedColumnFormula>NOT(I2=1)</calculatedColumnFormula>
    </tableColumn>
    <tableColumn id="24" xr3:uid="{15B9F8D1-AD1F-467B-8FFB-C3FDA066A83C}" name="Salary atleast 80000 OR Project complete atleast 4 ">
      <calculatedColumnFormula>OR(Answers!E2&gt;=80000,Answers!G2&gt;=4)</calculatedColumnFormula>
    </tableColumn>
    <tableColumn id="25" xr3:uid="{1F8B1033-D30D-4AED-8CAF-6C21537E08BB}" name="Employee Name &amp; Department"/>
    <tableColumn id="26" xr3:uid="{6262A0EA-096F-480B-86FF-5ECA6964C9E4}" name="Dept IT AND Salary &gt; 70000">
      <calculatedColumnFormula>AND(C2="IT",E2&gt;70000)</calculatedColumnFormula>
    </tableColumn>
    <tableColumn id="27" xr3:uid="{7201F538-7AB8-4E3E-BF5A-73F9809ED2EC}" name=" Dept Finance OR Salary below 60000">
      <calculatedColumnFormula>OR(C2="finance",E2&lt;60000)</calculatedColumnFormula>
    </tableColumn>
    <tableColumn id="28" xr3:uid="{F12FCCC8-79B6-49A5-B9E5-F339850F3030}" name=" Salary + 5% increase" dataDxfId="4">
      <calculatedColumnFormula>Table1[[#This Row],[Salary]]+4650</calculatedColumnFormula>
    </tableColumn>
    <tableColumn id="31" xr3:uid="{4827D65A-202A-4300-8EA4-13DEBD583767}" name="Proposed Salary &gt;80000" dataDxfId="3">
      <calculatedColumnFormula>Table1[[#This Row],[ Salary + 5% increase]]&gt;80000</calculatedColumnFormula>
    </tableColumn>
    <tableColumn id="29" xr3:uid="{479F0B91-57C6-4CE7-B45F-5C012A39AFAD}" name="Performance Allowance 2000 IF Performance Target Met is 1" dataDxfId="2">
      <calculatedColumnFormula>IF(Table1[[#This Row],[Performance_Target_Met]]=1,"2000",0)</calculatedColumnFormula>
    </tableColumn>
    <tableColumn id="30" xr3:uid="{D893B429-F45E-479F-B5DF-4D13BF3F29C3}" name="Eligibity Check" dataDxfId="1">
      <calculatedColumnFormula>OR(Table1[[#This Row],[Attendance_Bonus_Eligible]]=1,Table1[[#This Row],[Performance_Target_Met]]=1,AND(Table1[[#This Row],[Salary]]&gt;=75000))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ySplit="1" topLeftCell="A2" activePane="bottomLeft" state="frozen"/>
      <selection pane="bottomLeft" activeCell="J23" sqref="J23"/>
    </sheetView>
  </sheetViews>
  <sheetFormatPr defaultRowHeight="14.4" x14ac:dyDescent="0.3"/>
  <cols>
    <col min="1" max="1" width="14" customWidth="1"/>
    <col min="2" max="2" width="16" customWidth="1"/>
    <col min="3" max="5" width="14" customWidth="1"/>
    <col min="6" max="6" width="21" customWidth="1"/>
    <col min="7" max="7" width="20" customWidth="1"/>
    <col min="8" max="8" width="16" customWidth="1"/>
    <col min="9" max="9" width="27" customWidth="1"/>
    <col min="10" max="10" width="2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</row>
    <row r="3" spans="1:10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</row>
    <row r="4" spans="1:10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</row>
    <row r="5" spans="1:10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</row>
    <row r="6" spans="1:10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</row>
    <row r="7" spans="1:10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</row>
    <row r="8" spans="1:10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</row>
    <row r="9" spans="1:10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</row>
    <row r="10" spans="1:10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</row>
    <row r="11" spans="1:10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</row>
    <row r="12" spans="1:10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</row>
    <row r="13" spans="1:10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</row>
    <row r="14" spans="1:10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</row>
    <row r="15" spans="1:10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</row>
    <row r="16" spans="1:10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</row>
  </sheetData>
  <autoFilter ref="A1:J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130" zoomScaleNormal="130" workbookViewId="0">
      <pane ySplit="1" topLeftCell="A15" activePane="bottomLeft" state="frozen"/>
      <selection pane="bottomLeft" activeCell="C21" sqref="C21"/>
    </sheetView>
  </sheetViews>
  <sheetFormatPr defaultRowHeight="14.4" x14ac:dyDescent="0.3"/>
  <cols>
    <col min="1" max="2" width="14" customWidth="1"/>
    <col min="3" max="3" width="58" customWidth="1"/>
    <col min="4" max="4" width="35" customWidth="1"/>
  </cols>
  <sheetData>
    <row r="1" spans="1:4" ht="30" customHeight="1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ht="28.8" x14ac:dyDescent="0.3">
      <c r="A2" s="2">
        <v>1</v>
      </c>
      <c r="B2" s="2" t="s">
        <v>39</v>
      </c>
      <c r="C2" s="2" t="s">
        <v>40</v>
      </c>
      <c r="D2" s="2" t="s">
        <v>41</v>
      </c>
    </row>
    <row r="3" spans="1:4" x14ac:dyDescent="0.3">
      <c r="A3" s="2">
        <v>2</v>
      </c>
      <c r="B3" s="2" t="s">
        <v>39</v>
      </c>
      <c r="C3" s="2" t="s">
        <v>42</v>
      </c>
      <c r="D3" s="2" t="s">
        <v>43</v>
      </c>
    </row>
    <row r="4" spans="1:4" x14ac:dyDescent="0.3">
      <c r="A4" s="2">
        <v>3</v>
      </c>
      <c r="B4" s="2" t="s">
        <v>39</v>
      </c>
      <c r="C4" s="2" t="s">
        <v>44</v>
      </c>
      <c r="D4" s="2" t="s">
        <v>43</v>
      </c>
    </row>
    <row r="5" spans="1:4" x14ac:dyDescent="0.3">
      <c r="A5" s="2">
        <v>4</v>
      </c>
      <c r="B5" s="2" t="s">
        <v>39</v>
      </c>
      <c r="C5" s="2" t="s">
        <v>45</v>
      </c>
      <c r="D5" s="2" t="s">
        <v>46</v>
      </c>
    </row>
    <row r="6" spans="1:4" x14ac:dyDescent="0.3">
      <c r="A6" s="2">
        <v>5</v>
      </c>
      <c r="B6" s="2" t="s">
        <v>39</v>
      </c>
      <c r="C6" s="2" t="s">
        <v>47</v>
      </c>
      <c r="D6" s="2" t="s">
        <v>43</v>
      </c>
    </row>
    <row r="7" spans="1:4" x14ac:dyDescent="0.3">
      <c r="A7" s="2">
        <v>6</v>
      </c>
      <c r="B7" s="2" t="s">
        <v>48</v>
      </c>
      <c r="C7" s="2" t="s">
        <v>49</v>
      </c>
      <c r="D7" s="2" t="s">
        <v>50</v>
      </c>
    </row>
    <row r="8" spans="1:4" x14ac:dyDescent="0.3">
      <c r="A8" s="2">
        <v>7</v>
      </c>
      <c r="B8" s="2" t="s">
        <v>48</v>
      </c>
      <c r="C8" s="2" t="s">
        <v>51</v>
      </c>
      <c r="D8" s="2" t="s">
        <v>52</v>
      </c>
    </row>
    <row r="9" spans="1:4" x14ac:dyDescent="0.3">
      <c r="A9" s="2">
        <v>8</v>
      </c>
      <c r="B9" s="2" t="s">
        <v>48</v>
      </c>
      <c r="C9" s="2" t="s">
        <v>53</v>
      </c>
      <c r="D9" s="2" t="s">
        <v>54</v>
      </c>
    </row>
    <row r="10" spans="1:4" x14ac:dyDescent="0.3">
      <c r="A10" s="2">
        <v>9</v>
      </c>
      <c r="B10" s="2" t="s">
        <v>48</v>
      </c>
      <c r="C10" s="2" t="s">
        <v>55</v>
      </c>
      <c r="D10" s="2" t="s">
        <v>56</v>
      </c>
    </row>
    <row r="11" spans="1:4" x14ac:dyDescent="0.3">
      <c r="A11" s="2">
        <v>10</v>
      </c>
      <c r="B11" s="2" t="s">
        <v>48</v>
      </c>
      <c r="C11" s="2" t="s">
        <v>57</v>
      </c>
      <c r="D11" s="2" t="s">
        <v>58</v>
      </c>
    </row>
    <row r="12" spans="1:4" ht="28.8" x14ac:dyDescent="0.3">
      <c r="A12" s="2">
        <v>11</v>
      </c>
      <c r="B12" s="2" t="s">
        <v>59</v>
      </c>
      <c r="C12" s="2" t="s">
        <v>60</v>
      </c>
      <c r="D12" s="2" t="s">
        <v>61</v>
      </c>
    </row>
    <row r="13" spans="1:4" x14ac:dyDescent="0.3">
      <c r="A13" s="2">
        <v>12</v>
      </c>
      <c r="B13" s="2" t="s">
        <v>59</v>
      </c>
      <c r="C13" s="2" t="s">
        <v>62</v>
      </c>
      <c r="D13" s="2" t="s">
        <v>63</v>
      </c>
    </row>
    <row r="14" spans="1:4" x14ac:dyDescent="0.3">
      <c r="A14" s="2">
        <v>13</v>
      </c>
      <c r="B14" s="2" t="s">
        <v>59</v>
      </c>
      <c r="C14" s="2" t="s">
        <v>64</v>
      </c>
      <c r="D14" s="2" t="s">
        <v>65</v>
      </c>
    </row>
    <row r="15" spans="1:4" ht="28.8" x14ac:dyDescent="0.3">
      <c r="A15" s="2">
        <v>14</v>
      </c>
      <c r="B15" s="2" t="s">
        <v>59</v>
      </c>
      <c r="C15" s="2" t="s">
        <v>66</v>
      </c>
      <c r="D15" s="2" t="s">
        <v>63</v>
      </c>
    </row>
    <row r="16" spans="1:4" ht="28.8" x14ac:dyDescent="0.3">
      <c r="A16" s="2">
        <v>15</v>
      </c>
      <c r="B16" s="2" t="s">
        <v>67</v>
      </c>
      <c r="C16" s="2" t="s">
        <v>68</v>
      </c>
      <c r="D16" s="2" t="s">
        <v>69</v>
      </c>
    </row>
    <row r="17" spans="1:4" ht="28.8" x14ac:dyDescent="0.3">
      <c r="A17" s="2">
        <v>16</v>
      </c>
      <c r="B17" s="2" t="s">
        <v>70</v>
      </c>
      <c r="C17" s="2" t="s">
        <v>71</v>
      </c>
      <c r="D17" s="2" t="s">
        <v>72</v>
      </c>
    </row>
    <row r="18" spans="1:4" ht="30" customHeight="1" x14ac:dyDescent="0.3">
      <c r="A18" s="2">
        <v>17</v>
      </c>
      <c r="B18" s="2" t="s">
        <v>70</v>
      </c>
      <c r="C18" s="2" t="s">
        <v>73</v>
      </c>
      <c r="D18" s="2" t="s">
        <v>74</v>
      </c>
    </row>
    <row r="19" spans="1:4" ht="28.8" x14ac:dyDescent="0.3">
      <c r="A19" s="2">
        <v>18</v>
      </c>
      <c r="B19" s="2" t="s">
        <v>70</v>
      </c>
      <c r="C19" s="2" t="s">
        <v>75</v>
      </c>
      <c r="D19" s="2" t="s">
        <v>76</v>
      </c>
    </row>
    <row r="20" spans="1:4" ht="43.2" x14ac:dyDescent="0.3">
      <c r="A20" s="2">
        <v>19</v>
      </c>
      <c r="B20" s="2" t="s">
        <v>70</v>
      </c>
      <c r="C20" s="2" t="s">
        <v>77</v>
      </c>
      <c r="D20" s="2" t="s">
        <v>78</v>
      </c>
    </row>
    <row r="21" spans="1:4" ht="28.8" x14ac:dyDescent="0.3">
      <c r="A21" s="2">
        <v>20</v>
      </c>
      <c r="B21" s="2" t="s">
        <v>70</v>
      </c>
      <c r="C21" s="2" t="s">
        <v>79</v>
      </c>
      <c r="D21" s="2" t="s">
        <v>80</v>
      </c>
    </row>
  </sheetData>
  <autoFilter ref="A1:D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zoomScale="160" zoomScaleNormal="160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58" customWidth="1"/>
  </cols>
  <sheetData>
    <row r="1" spans="1:1" ht="30" customHeight="1" x14ac:dyDescent="0.3">
      <c r="A1" s="1" t="s">
        <v>81</v>
      </c>
    </row>
    <row r="2" spans="1:1" ht="28.8" x14ac:dyDescent="0.3">
      <c r="A2" s="2" t="s">
        <v>82</v>
      </c>
    </row>
    <row r="3" spans="1:1" ht="28.8" x14ac:dyDescent="0.3">
      <c r="A3" s="2" t="s">
        <v>83</v>
      </c>
    </row>
    <row r="4" spans="1:1" ht="28.8" x14ac:dyDescent="0.3">
      <c r="A4" s="2" t="s">
        <v>84</v>
      </c>
    </row>
    <row r="5" spans="1:1" ht="28.8" x14ac:dyDescent="0.3">
      <c r="A5" s="2" t="s">
        <v>85</v>
      </c>
    </row>
    <row r="6" spans="1:1" ht="28.8" x14ac:dyDescent="0.3">
      <c r="A6" s="2" t="s">
        <v>86</v>
      </c>
    </row>
    <row r="7" spans="1:1" x14ac:dyDescent="0.3">
      <c r="A7" s="2" t="s">
        <v>87</v>
      </c>
    </row>
  </sheetData>
  <autoFilter ref="A1:A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D83B-3E7D-4B0E-AFF3-479CCA2B7448}">
  <dimension ref="A1:AE19"/>
  <sheetViews>
    <sheetView tabSelected="1" topLeftCell="N1" zoomScale="120" zoomScaleNormal="120" workbookViewId="0">
      <selection activeCell="W2" sqref="W2"/>
    </sheetView>
  </sheetViews>
  <sheetFormatPr defaultRowHeight="14.4" x14ac:dyDescent="0.3"/>
  <cols>
    <col min="1" max="1" width="13.77734375" customWidth="1"/>
    <col min="2" max="2" width="16.88671875" customWidth="1"/>
    <col min="3" max="3" width="12.88671875" customWidth="1"/>
    <col min="4" max="4" width="11.44140625" customWidth="1"/>
    <col min="5" max="5" width="11.33203125" customWidth="1"/>
    <col min="6" max="6" width="11.44140625" customWidth="1"/>
    <col min="7" max="7" width="19.6640625" customWidth="1"/>
    <col min="8" max="8" width="15.5546875" customWidth="1"/>
    <col min="9" max="9" width="25.77734375" customWidth="1"/>
    <col min="10" max="10" width="24.21875" customWidth="1"/>
    <col min="11" max="11" width="15.33203125" customWidth="1"/>
    <col min="12" max="12" width="19.21875" customWidth="1"/>
    <col min="13" max="13" width="14.44140625" customWidth="1"/>
    <col min="14" max="14" width="11.33203125" customWidth="1"/>
    <col min="15" max="15" width="17.88671875" customWidth="1"/>
    <col min="16" max="16" width="10.33203125" bestFit="1" customWidth="1"/>
    <col min="17" max="17" width="18.77734375" customWidth="1"/>
    <col min="18" max="18" width="11.33203125" bestFit="1" customWidth="1"/>
    <col min="19" max="19" width="19.5546875" customWidth="1"/>
    <col min="20" max="20" width="17.109375" customWidth="1"/>
    <col min="21" max="22" width="10.6640625" bestFit="1" customWidth="1"/>
    <col min="23" max="24" width="11.109375" bestFit="1" customWidth="1"/>
    <col min="25" max="25" width="24.88671875" customWidth="1"/>
    <col min="26" max="26" width="11.21875" bestFit="1" customWidth="1"/>
    <col min="27" max="27" width="26.33203125" customWidth="1"/>
    <col min="28" max="28" width="19" customWidth="1"/>
    <col min="29" max="29" width="31" customWidth="1"/>
    <col min="30" max="30" width="11.5546875" bestFit="1" customWidth="1"/>
    <col min="31" max="31" width="9.77734375" bestFit="1" customWidth="1"/>
  </cols>
  <sheetData>
    <row r="1" spans="1:31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88</v>
      </c>
      <c r="L1" s="5" t="s">
        <v>89</v>
      </c>
      <c r="M1" s="11" t="s">
        <v>103</v>
      </c>
      <c r="N1" s="11" t="s">
        <v>104</v>
      </c>
      <c r="O1" s="5" t="s">
        <v>90</v>
      </c>
      <c r="P1" s="11" t="s">
        <v>94</v>
      </c>
      <c r="Q1" s="7" t="s">
        <v>105</v>
      </c>
      <c r="R1" s="8" t="s">
        <v>95</v>
      </c>
      <c r="S1" s="8" t="s">
        <v>96</v>
      </c>
      <c r="T1" s="8" t="s">
        <v>97</v>
      </c>
      <c r="U1" s="8" t="s">
        <v>106</v>
      </c>
      <c r="V1" s="8" t="s">
        <v>98</v>
      </c>
      <c r="W1" s="8" t="s">
        <v>99</v>
      </c>
      <c r="X1" s="8" t="s">
        <v>100</v>
      </c>
      <c r="Y1" s="8" t="s">
        <v>101</v>
      </c>
      <c r="Z1" s="8" t="s">
        <v>108</v>
      </c>
      <c r="AA1" s="8" t="s">
        <v>107</v>
      </c>
      <c r="AB1" s="8" t="s">
        <v>109</v>
      </c>
      <c r="AC1" s="10" t="s">
        <v>93</v>
      </c>
      <c r="AD1" s="9" t="s">
        <v>102</v>
      </c>
      <c r="AE1" s="9" t="s">
        <v>91</v>
      </c>
    </row>
    <row r="2" spans="1:31" ht="21.6" customHeight="1" x14ac:dyDescent="0.3">
      <c r="A2" s="2">
        <v>1001</v>
      </c>
      <c r="B2" s="2" t="s">
        <v>10</v>
      </c>
      <c r="C2" s="2" t="s">
        <v>11</v>
      </c>
      <c r="D2" s="2" t="s">
        <v>12</v>
      </c>
      <c r="E2" s="3">
        <v>93000</v>
      </c>
      <c r="F2" s="4">
        <v>42135</v>
      </c>
      <c r="G2" s="2">
        <v>5</v>
      </c>
      <c r="H2" s="2">
        <v>2</v>
      </c>
      <c r="I2" s="2">
        <v>1</v>
      </c>
      <c r="J2" s="2">
        <v>0</v>
      </c>
      <c r="K2" s="6">
        <f t="shared" ref="K2:K16" si="0">E2/12</f>
        <v>7750</v>
      </c>
      <c r="L2" s="6">
        <f>E2*10%</f>
        <v>9300</v>
      </c>
      <c r="M2" s="6">
        <f>E2*8%</f>
        <v>7440</v>
      </c>
      <c r="N2" s="6">
        <f>E2-60000</f>
        <v>33000</v>
      </c>
      <c r="O2">
        <f>G2*1500</f>
        <v>7500</v>
      </c>
      <c r="P2" t="b">
        <f>E2&gt;80000</f>
        <v>1</v>
      </c>
      <c r="Q2" t="b">
        <f>E2=75000</f>
        <v>0</v>
      </c>
      <c r="R2" t="b">
        <f>E2&lt;&gt;70000</f>
        <v>1</v>
      </c>
      <c r="S2" t="b">
        <f>G2&gt;=4</f>
        <v>1</v>
      </c>
      <c r="T2" t="b">
        <f>H2&lt;3</f>
        <v>1</v>
      </c>
      <c r="U2" t="str">
        <f>IF(AND(E2&gt;=75000,J2=1),"Eligible","Not Eligible")</f>
        <v>Not Eligible</v>
      </c>
      <c r="V2" t="str">
        <f>IF(OR(C2="Finance",C2="IT"),"Eligible","Not Eligible")</f>
        <v>Eligible</v>
      </c>
      <c r="W2" t="b">
        <f t="shared" ref="W2:W16" si="1">NOT(I2=1)</f>
        <v>0</v>
      </c>
      <c r="X2" t="b">
        <f>OR(Answers!E2&gt;=80000,Answers!G2&gt;=4)</f>
        <v>1</v>
      </c>
      <c r="Y2" t="str">
        <f>"Ava Rodrigues"&amp;"-"&amp;"Finance"</f>
        <v>Ava Rodrigues-Finance</v>
      </c>
      <c r="Z2" t="b">
        <f>AND(C2="IT",E2&gt;70000)</f>
        <v>0</v>
      </c>
      <c r="AA2" t="b">
        <f>OR(C2="finance",E2&lt;60000)</f>
        <v>1</v>
      </c>
      <c r="AB2" s="6">
        <f>Table1[[#This Row],[Salary]]+4650</f>
        <v>97650</v>
      </c>
      <c r="AC2" s="6" t="b">
        <f>Table1[[#This Row],[ Salary + 5% increase]]&gt;80000</f>
        <v>1</v>
      </c>
      <c r="AD2" s="12">
        <f>IF(Table1[[#This Row],[Performance_Target_Met]]=1,"2000",0)</f>
        <v>0</v>
      </c>
      <c r="AE2" t="b">
        <f>OR(Table1[[#This Row],[Attendance_Bonus_Eligible]]=1,Table1[[#This Row],[Performance_Target_Met]]=1,AND(Table1[[#This Row],[Salary]]&gt;=75000))</f>
        <v>1</v>
      </c>
    </row>
    <row r="3" spans="1:31" ht="24" customHeight="1" x14ac:dyDescent="0.3">
      <c r="A3" s="2">
        <v>1002</v>
      </c>
      <c r="B3" s="2" t="s">
        <v>13</v>
      </c>
      <c r="C3" s="2" t="s">
        <v>14</v>
      </c>
      <c r="D3" s="2" t="s">
        <v>15</v>
      </c>
      <c r="E3" s="3">
        <v>67000</v>
      </c>
      <c r="F3" s="4">
        <v>43368</v>
      </c>
      <c r="G3" s="2">
        <v>3</v>
      </c>
      <c r="H3" s="2">
        <v>1</v>
      </c>
      <c r="I3" s="2">
        <v>0</v>
      </c>
      <c r="J3" s="2">
        <v>1</v>
      </c>
      <c r="K3" s="6">
        <f t="shared" si="0"/>
        <v>5583.333333333333</v>
      </c>
      <c r="L3" s="6">
        <f t="shared" ref="L3:L16" si="2">E3*10%</f>
        <v>6700</v>
      </c>
      <c r="M3" s="6">
        <f t="shared" ref="M3:M16" si="3">E3*8%</f>
        <v>5360</v>
      </c>
      <c r="N3" s="6">
        <f t="shared" ref="N3:N16" si="4">E3-60000</f>
        <v>7000</v>
      </c>
      <c r="O3">
        <f t="shared" ref="O3:O16" si="5">G3*1500</f>
        <v>4500</v>
      </c>
      <c r="P3" t="b">
        <f t="shared" ref="P3:P16" si="6">E3&gt;80000</f>
        <v>0</v>
      </c>
      <c r="Q3" t="b">
        <f t="shared" ref="Q3:Q16" si="7">E3=75000</f>
        <v>0</v>
      </c>
      <c r="R3" t="b">
        <f t="shared" ref="R3:R16" si="8">E3&lt;&gt;70000</f>
        <v>1</v>
      </c>
      <c r="S3" t="b">
        <f t="shared" ref="S3:S16" si="9">G3&gt;=4</f>
        <v>0</v>
      </c>
      <c r="T3" t="b">
        <f t="shared" ref="T3:T16" si="10">H3&lt;3</f>
        <v>1</v>
      </c>
      <c r="U3" t="str">
        <f t="shared" ref="U3:U16" si="11">IF(AND(E3&gt;=75000,J3=1),"Eligible","Not Eligible")</f>
        <v>Not Eligible</v>
      </c>
      <c r="V3" t="str">
        <f t="shared" ref="V3:V16" si="12">IF(OR(C3="Finance",C3="IT"),"Eligible","Not Eligible")</f>
        <v>Eligible</v>
      </c>
      <c r="W3" t="b">
        <f t="shared" si="1"/>
        <v>1</v>
      </c>
      <c r="X3" t="b">
        <f>OR(Answers!E3&gt;=80000,Answers!G3&gt;=4)</f>
        <v>0</v>
      </c>
      <c r="Y3" t="str">
        <f>"David Johnson"&amp;"-"&amp;"IT"</f>
        <v>David Johnson-IT</v>
      </c>
      <c r="Z3" t="b">
        <f t="shared" ref="Z3:Z16" si="13">AND(C3="IT",E3&gt;70000)</f>
        <v>0</v>
      </c>
      <c r="AA3" t="b">
        <f t="shared" ref="AA3:AA16" si="14">OR(C3="finance",E3&lt;60000)</f>
        <v>0</v>
      </c>
      <c r="AB3" s="6">
        <f>Table1[[#This Row],[Salary]]+4650</f>
        <v>71650</v>
      </c>
      <c r="AC3" s="6" t="b">
        <f>Table1[[#This Row],[ Salary + 5% increase]]&gt;80000</f>
        <v>0</v>
      </c>
      <c r="AD3" s="12" t="str">
        <f>IF(Table1[[#This Row],[Performance_Target_Met]]=1,"2000",0)</f>
        <v>2000</v>
      </c>
      <c r="AE3" t="b">
        <f>OR(Table1[[#This Row],[Attendance_Bonus_Eligible]]=1,Table1[[#This Row],[Performance_Target_Met]]=1,AND(Table1[[#This Row],[Salary]]&gt;=75000))</f>
        <v>1</v>
      </c>
    </row>
    <row r="4" spans="1:31" x14ac:dyDescent="0.3">
      <c r="A4" s="2">
        <v>1003</v>
      </c>
      <c r="B4" s="2" t="s">
        <v>16</v>
      </c>
      <c r="C4" s="2" t="s">
        <v>11</v>
      </c>
      <c r="D4" s="2" t="s">
        <v>12</v>
      </c>
      <c r="E4" s="3">
        <v>85000</v>
      </c>
      <c r="F4" s="4">
        <v>44365</v>
      </c>
      <c r="G4" s="2">
        <v>4</v>
      </c>
      <c r="H4" s="2">
        <v>3</v>
      </c>
      <c r="I4" s="2">
        <v>1</v>
      </c>
      <c r="J4" s="2">
        <v>1</v>
      </c>
      <c r="K4" s="6">
        <f t="shared" si="0"/>
        <v>7083.333333333333</v>
      </c>
      <c r="L4" s="6">
        <f t="shared" si="2"/>
        <v>8500</v>
      </c>
      <c r="M4" s="6">
        <f t="shared" si="3"/>
        <v>6800</v>
      </c>
      <c r="N4" s="6">
        <f t="shared" si="4"/>
        <v>25000</v>
      </c>
      <c r="O4">
        <f t="shared" si="5"/>
        <v>6000</v>
      </c>
      <c r="P4" t="b">
        <f t="shared" si="6"/>
        <v>1</v>
      </c>
      <c r="Q4" t="b">
        <f t="shared" si="7"/>
        <v>0</v>
      </c>
      <c r="R4" t="b">
        <f t="shared" si="8"/>
        <v>1</v>
      </c>
      <c r="S4" t="b">
        <f t="shared" si="9"/>
        <v>1</v>
      </c>
      <c r="T4" t="b">
        <f t="shared" si="10"/>
        <v>0</v>
      </c>
      <c r="U4" t="str">
        <f t="shared" si="11"/>
        <v>Eligible</v>
      </c>
      <c r="V4" t="str">
        <f t="shared" si="12"/>
        <v>Eligible</v>
      </c>
      <c r="W4" t="b">
        <f t="shared" si="1"/>
        <v>0</v>
      </c>
      <c r="X4" t="b">
        <f>OR(Answers!E4&gt;=80000,Answers!G4&gt;=4)</f>
        <v>1</v>
      </c>
      <c r="Y4" t="str">
        <f>"Chris Wilson"&amp;"-"&amp;"Finance"</f>
        <v>Chris Wilson-Finance</v>
      </c>
      <c r="Z4" t="b">
        <f t="shared" si="13"/>
        <v>0</v>
      </c>
      <c r="AA4" t="b">
        <f t="shared" si="14"/>
        <v>1</v>
      </c>
      <c r="AB4" s="6">
        <f>Table1[[#This Row],[Salary]]+4650</f>
        <v>89650</v>
      </c>
      <c r="AC4" s="6" t="b">
        <f>Table1[[#This Row],[ Salary + 5% increase]]&gt;80000</f>
        <v>1</v>
      </c>
      <c r="AD4" s="12" t="str">
        <f>IF(Table1[[#This Row],[Performance_Target_Met]]=1,"2000",0)</f>
        <v>2000</v>
      </c>
      <c r="AE4" t="b">
        <f>OR(Table1[[#This Row],[Attendance_Bonus_Eligible]]=1,Table1[[#This Row],[Performance_Target_Met]]=1,AND(Table1[[#This Row],[Salary]]&gt;=75000))</f>
        <v>1</v>
      </c>
    </row>
    <row r="5" spans="1:31" x14ac:dyDescent="0.3">
      <c r="A5" s="2">
        <v>1004</v>
      </c>
      <c r="B5" s="2" t="s">
        <v>17</v>
      </c>
      <c r="C5" s="2" t="s">
        <v>14</v>
      </c>
      <c r="D5" s="2" t="s">
        <v>15</v>
      </c>
      <c r="E5" s="3">
        <v>71000</v>
      </c>
      <c r="F5" s="4">
        <v>42771</v>
      </c>
      <c r="G5" s="2">
        <v>2</v>
      </c>
      <c r="H5" s="2">
        <v>2</v>
      </c>
      <c r="I5" s="2">
        <v>0</v>
      </c>
      <c r="J5" s="2">
        <v>1</v>
      </c>
      <c r="K5" s="6">
        <f t="shared" si="0"/>
        <v>5916.666666666667</v>
      </c>
      <c r="L5" s="6">
        <f t="shared" si="2"/>
        <v>7100</v>
      </c>
      <c r="M5" s="6">
        <f t="shared" si="3"/>
        <v>5680</v>
      </c>
      <c r="N5" s="6">
        <f t="shared" si="4"/>
        <v>11000</v>
      </c>
      <c r="O5">
        <f t="shared" si="5"/>
        <v>3000</v>
      </c>
      <c r="P5" t="b">
        <f t="shared" si="6"/>
        <v>0</v>
      </c>
      <c r="Q5" t="b">
        <f t="shared" si="7"/>
        <v>0</v>
      </c>
      <c r="R5" t="b">
        <f t="shared" si="8"/>
        <v>1</v>
      </c>
      <c r="S5" t="b">
        <f t="shared" si="9"/>
        <v>0</v>
      </c>
      <c r="T5" t="b">
        <f t="shared" si="10"/>
        <v>1</v>
      </c>
      <c r="U5" t="str">
        <f t="shared" si="11"/>
        <v>Not Eligible</v>
      </c>
      <c r="V5" t="str">
        <f t="shared" si="12"/>
        <v>Eligible</v>
      </c>
      <c r="W5" t="b">
        <f t="shared" si="1"/>
        <v>1</v>
      </c>
      <c r="X5" t="b">
        <f>OR(Answers!E5&gt;=80000,Answers!G5&gt;=4)</f>
        <v>0</v>
      </c>
      <c r="Y5" t="str">
        <f>"Emily Davis"&amp;"-"&amp;"IT"</f>
        <v>Emily Davis-IT</v>
      </c>
      <c r="Z5" t="b">
        <f t="shared" si="13"/>
        <v>1</v>
      </c>
      <c r="AA5" t="b">
        <f t="shared" si="14"/>
        <v>0</v>
      </c>
      <c r="AB5" s="6">
        <f>Table1[[#This Row],[Salary]]+4650</f>
        <v>75650</v>
      </c>
      <c r="AC5" s="6" t="b">
        <f>Table1[[#This Row],[ Salary + 5% increase]]&gt;80000</f>
        <v>0</v>
      </c>
      <c r="AD5" s="12" t="str">
        <f>IF(Table1[[#This Row],[Performance_Target_Met]]=1,"2000",0)</f>
        <v>2000</v>
      </c>
      <c r="AE5" t="b">
        <f>OR(Table1[[#This Row],[Attendance_Bonus_Eligible]]=1,Table1[[#This Row],[Performance_Target_Met]]=1,AND(Table1[[#This Row],[Salary]]&gt;=75000))</f>
        <v>1</v>
      </c>
    </row>
    <row r="6" spans="1:31" x14ac:dyDescent="0.3">
      <c r="A6" s="2">
        <v>1005</v>
      </c>
      <c r="B6" s="2" t="s">
        <v>18</v>
      </c>
      <c r="C6" s="2" t="s">
        <v>19</v>
      </c>
      <c r="D6" s="2" t="s">
        <v>20</v>
      </c>
      <c r="E6" s="3">
        <v>58000</v>
      </c>
      <c r="F6" s="4">
        <v>43781</v>
      </c>
      <c r="G6" s="2">
        <v>2</v>
      </c>
      <c r="H6" s="2">
        <v>1</v>
      </c>
      <c r="I6" s="2">
        <v>0</v>
      </c>
      <c r="J6" s="2">
        <v>0</v>
      </c>
      <c r="K6" s="6">
        <f t="shared" si="0"/>
        <v>4833.333333333333</v>
      </c>
      <c r="L6" s="6">
        <f t="shared" si="2"/>
        <v>5800</v>
      </c>
      <c r="M6" s="6">
        <f t="shared" si="3"/>
        <v>4640</v>
      </c>
      <c r="N6" s="6">
        <f t="shared" si="4"/>
        <v>-2000</v>
      </c>
      <c r="O6">
        <f t="shared" si="5"/>
        <v>3000</v>
      </c>
      <c r="P6" t="b">
        <f t="shared" si="6"/>
        <v>0</v>
      </c>
      <c r="Q6" t="b">
        <f t="shared" si="7"/>
        <v>0</v>
      </c>
      <c r="R6" t="b">
        <f t="shared" si="8"/>
        <v>1</v>
      </c>
      <c r="S6" t="b">
        <f t="shared" si="9"/>
        <v>0</v>
      </c>
      <c r="T6" t="b">
        <f t="shared" si="10"/>
        <v>1</v>
      </c>
      <c r="U6" t="str">
        <f t="shared" si="11"/>
        <v>Not Eligible</v>
      </c>
      <c r="V6" t="str">
        <f t="shared" si="12"/>
        <v>Not Eligible</v>
      </c>
      <c r="W6" t="b">
        <f t="shared" si="1"/>
        <v>1</v>
      </c>
      <c r="X6" t="b">
        <f>OR(Answers!E6&gt;=80000,Answers!G6&gt;=4)</f>
        <v>0</v>
      </c>
      <c r="Y6" t="str">
        <f>"Sophia Brown"&amp;"-"&amp;"HR"</f>
        <v>Sophia Brown-HR</v>
      </c>
      <c r="Z6" t="b">
        <f t="shared" si="13"/>
        <v>0</v>
      </c>
      <c r="AA6" t="b">
        <f t="shared" si="14"/>
        <v>1</v>
      </c>
      <c r="AB6" s="6">
        <f>Table1[[#This Row],[Salary]]+4650</f>
        <v>62650</v>
      </c>
      <c r="AC6" s="6" t="b">
        <f>Table1[[#This Row],[ Salary + 5% increase]]&gt;80000</f>
        <v>0</v>
      </c>
      <c r="AD6" s="12">
        <f>IF(Table1[[#This Row],[Performance_Target_Met]]=1,"2000",0)</f>
        <v>0</v>
      </c>
      <c r="AE6" t="b">
        <f>OR(Table1[[#This Row],[Attendance_Bonus_Eligible]]=1,Table1[[#This Row],[Performance_Target_Met]]=1,AND(Table1[[#This Row],[Salary]]&gt;=75000))</f>
        <v>0</v>
      </c>
    </row>
    <row r="7" spans="1:31" x14ac:dyDescent="0.3">
      <c r="A7" s="2">
        <v>1006</v>
      </c>
      <c r="B7" s="2" t="s">
        <v>21</v>
      </c>
      <c r="C7" s="2" t="s">
        <v>14</v>
      </c>
      <c r="D7" s="2" t="s">
        <v>15</v>
      </c>
      <c r="E7" s="3">
        <v>88000</v>
      </c>
      <c r="F7" s="4">
        <v>42571</v>
      </c>
      <c r="G7" s="2">
        <v>5</v>
      </c>
      <c r="H7" s="2">
        <v>4</v>
      </c>
      <c r="I7" s="2">
        <v>1</v>
      </c>
      <c r="J7" s="2">
        <v>1</v>
      </c>
      <c r="K7" s="6">
        <f t="shared" si="0"/>
        <v>7333.333333333333</v>
      </c>
      <c r="L7" s="6">
        <f t="shared" si="2"/>
        <v>8800</v>
      </c>
      <c r="M7" s="6">
        <f t="shared" si="3"/>
        <v>7040</v>
      </c>
      <c r="N7" s="6">
        <f t="shared" si="4"/>
        <v>28000</v>
      </c>
      <c r="O7">
        <f t="shared" si="5"/>
        <v>7500</v>
      </c>
      <c r="P7" t="b">
        <f t="shared" si="6"/>
        <v>1</v>
      </c>
      <c r="Q7" t="b">
        <f t="shared" si="7"/>
        <v>0</v>
      </c>
      <c r="R7" t="b">
        <f t="shared" si="8"/>
        <v>1</v>
      </c>
      <c r="S7" t="b">
        <f t="shared" si="9"/>
        <v>1</v>
      </c>
      <c r="T7" t="b">
        <f t="shared" si="10"/>
        <v>0</v>
      </c>
      <c r="U7" t="str">
        <f t="shared" si="11"/>
        <v>Eligible</v>
      </c>
      <c r="V7" t="str">
        <f t="shared" si="12"/>
        <v>Eligible</v>
      </c>
      <c r="W7" t="b">
        <f t="shared" si="1"/>
        <v>0</v>
      </c>
      <c r="X7" t="b">
        <f>OR(Answers!E7&gt;=80000,Answers!G7&gt;=4)</f>
        <v>1</v>
      </c>
      <c r="Y7" t="str">
        <f>"Michael Smith"&amp;"-"&amp;"IT"</f>
        <v>Michael Smith-IT</v>
      </c>
      <c r="Z7" t="b">
        <f t="shared" si="13"/>
        <v>1</v>
      </c>
      <c r="AA7" t="b">
        <f t="shared" si="14"/>
        <v>0</v>
      </c>
      <c r="AB7" s="6">
        <f>Table1[[#This Row],[Salary]]+4650</f>
        <v>92650</v>
      </c>
      <c r="AC7" s="6" t="b">
        <f>Table1[[#This Row],[ Salary + 5% increase]]&gt;80000</f>
        <v>1</v>
      </c>
      <c r="AD7" s="12" t="str">
        <f>IF(Table1[[#This Row],[Performance_Target_Met]]=1,"2000",0)</f>
        <v>2000</v>
      </c>
      <c r="AE7" t="b">
        <f>OR(Table1[[#This Row],[Attendance_Bonus_Eligible]]=1,Table1[[#This Row],[Performance_Target_Met]]=1,AND(Table1[[#This Row],[Salary]]&gt;=75000))</f>
        <v>1</v>
      </c>
    </row>
    <row r="8" spans="1:31" x14ac:dyDescent="0.3">
      <c r="A8" s="2">
        <v>1007</v>
      </c>
      <c r="B8" s="2" t="s">
        <v>22</v>
      </c>
      <c r="C8" s="2" t="s">
        <v>19</v>
      </c>
      <c r="D8" s="2" t="s">
        <v>20</v>
      </c>
      <c r="E8" s="3">
        <v>62000</v>
      </c>
      <c r="F8" s="4">
        <v>44635</v>
      </c>
      <c r="G8" s="2">
        <v>3</v>
      </c>
      <c r="H8" s="2">
        <v>2</v>
      </c>
      <c r="I8" s="2">
        <v>0</v>
      </c>
      <c r="J8" s="2">
        <v>1</v>
      </c>
      <c r="K8" s="6">
        <f t="shared" si="0"/>
        <v>5166.666666666667</v>
      </c>
      <c r="L8" s="6">
        <f t="shared" si="2"/>
        <v>6200</v>
      </c>
      <c r="M8" s="6">
        <f t="shared" si="3"/>
        <v>4960</v>
      </c>
      <c r="N8" s="6">
        <f t="shared" si="4"/>
        <v>2000</v>
      </c>
      <c r="O8">
        <f t="shared" si="5"/>
        <v>4500</v>
      </c>
      <c r="P8" t="b">
        <f t="shared" si="6"/>
        <v>0</v>
      </c>
      <c r="Q8" t="b">
        <f t="shared" si="7"/>
        <v>0</v>
      </c>
      <c r="R8" t="b">
        <f t="shared" si="8"/>
        <v>1</v>
      </c>
      <c r="S8" t="b">
        <f t="shared" si="9"/>
        <v>0</v>
      </c>
      <c r="T8" t="b">
        <f t="shared" si="10"/>
        <v>1</v>
      </c>
      <c r="U8" t="str">
        <f t="shared" si="11"/>
        <v>Not Eligible</v>
      </c>
      <c r="V8" t="str">
        <f t="shared" si="12"/>
        <v>Not Eligible</v>
      </c>
      <c r="W8" t="b">
        <f t="shared" si="1"/>
        <v>1</v>
      </c>
      <c r="X8" t="b">
        <f>OR(Answers!E8&gt;=80000,Answers!G8&gt;=4)</f>
        <v>0</v>
      </c>
      <c r="Y8" t="str">
        <f>"Olivia Tailor"&amp;"-"&amp;"HR"</f>
        <v>Olivia Tailor-HR</v>
      </c>
      <c r="Z8" t="b">
        <f t="shared" si="13"/>
        <v>0</v>
      </c>
      <c r="AA8" t="b">
        <f t="shared" si="14"/>
        <v>0</v>
      </c>
      <c r="AB8" s="6">
        <f>Table1[[#This Row],[Salary]]+4650</f>
        <v>66650</v>
      </c>
      <c r="AC8" s="6" t="b">
        <f>Table1[[#This Row],[ Salary + 5% increase]]&gt;80000</f>
        <v>0</v>
      </c>
      <c r="AD8" s="12" t="str">
        <f>IF(Table1[[#This Row],[Performance_Target_Met]]=1,"2000",0)</f>
        <v>2000</v>
      </c>
      <c r="AE8" t="b">
        <f>OR(Table1[[#This Row],[Attendance_Bonus_Eligible]]=1,Table1[[#This Row],[Performance_Target_Met]]=1,AND(Table1[[#This Row],[Salary]]&gt;=75000))</f>
        <v>1</v>
      </c>
    </row>
    <row r="9" spans="1:31" x14ac:dyDescent="0.3">
      <c r="A9" s="2">
        <v>1008</v>
      </c>
      <c r="B9" s="2" t="s">
        <v>23</v>
      </c>
      <c r="C9" s="2" t="s">
        <v>24</v>
      </c>
      <c r="D9" s="2" t="s">
        <v>25</v>
      </c>
      <c r="E9" s="3">
        <v>75000</v>
      </c>
      <c r="F9" s="4">
        <v>43840</v>
      </c>
      <c r="G9" s="2">
        <v>4</v>
      </c>
      <c r="H9" s="2">
        <v>3</v>
      </c>
      <c r="I9" s="2">
        <v>1</v>
      </c>
      <c r="J9" s="2">
        <v>0</v>
      </c>
      <c r="K9" s="6">
        <f t="shared" si="0"/>
        <v>6250</v>
      </c>
      <c r="L9" s="6">
        <f t="shared" si="2"/>
        <v>7500</v>
      </c>
      <c r="M9" s="6">
        <f t="shared" si="3"/>
        <v>6000</v>
      </c>
      <c r="N9" s="6">
        <f t="shared" si="4"/>
        <v>15000</v>
      </c>
      <c r="O9">
        <f t="shared" si="5"/>
        <v>6000</v>
      </c>
      <c r="P9" t="b">
        <f t="shared" si="6"/>
        <v>0</v>
      </c>
      <c r="Q9" t="b">
        <f t="shared" si="7"/>
        <v>1</v>
      </c>
      <c r="R9" t="b">
        <f t="shared" si="8"/>
        <v>1</v>
      </c>
      <c r="S9" t="b">
        <f t="shared" si="9"/>
        <v>1</v>
      </c>
      <c r="T9" t="b">
        <f t="shared" si="10"/>
        <v>0</v>
      </c>
      <c r="U9" t="str">
        <f t="shared" si="11"/>
        <v>Not Eligible</v>
      </c>
      <c r="V9" t="str">
        <f t="shared" si="12"/>
        <v>Not Eligible</v>
      </c>
      <c r="W9" t="b">
        <f t="shared" si="1"/>
        <v>0</v>
      </c>
      <c r="X9" t="b">
        <f>OR(Answers!E9&gt;=80000,Answers!G9&gt;=4)</f>
        <v>1</v>
      </c>
      <c r="Y9" t="str">
        <f>"James Anderson"&amp;"-"&amp;"Mareketing"</f>
        <v>James Anderson-Mareketing</v>
      </c>
      <c r="Z9" t="b">
        <f t="shared" si="13"/>
        <v>0</v>
      </c>
      <c r="AA9" t="b">
        <f t="shared" si="14"/>
        <v>0</v>
      </c>
      <c r="AB9" s="6">
        <f>Table1[[#This Row],[Salary]]+4650</f>
        <v>79650</v>
      </c>
      <c r="AC9" s="6" t="b">
        <f>Table1[[#This Row],[ Salary + 5% increase]]&gt;80000</f>
        <v>0</v>
      </c>
      <c r="AD9" s="12">
        <f>IF(Table1[[#This Row],[Performance_Target_Met]]=1,"2000",0)</f>
        <v>0</v>
      </c>
      <c r="AE9" t="b">
        <f>OR(Table1[[#This Row],[Attendance_Bonus_Eligible]]=1,Table1[[#This Row],[Performance_Target_Met]]=1,AND(Table1[[#This Row],[Salary]]&gt;=75000))</f>
        <v>1</v>
      </c>
    </row>
    <row r="10" spans="1:31" x14ac:dyDescent="0.3">
      <c r="A10" s="2">
        <v>1009</v>
      </c>
      <c r="B10" s="2" t="s">
        <v>26</v>
      </c>
      <c r="C10" s="2" t="s">
        <v>11</v>
      </c>
      <c r="D10" s="2" t="s">
        <v>12</v>
      </c>
      <c r="E10" s="3">
        <v>79000</v>
      </c>
      <c r="F10" s="4">
        <v>43699</v>
      </c>
      <c r="G10" s="2">
        <v>3</v>
      </c>
      <c r="H10" s="2">
        <v>2</v>
      </c>
      <c r="I10" s="2">
        <v>0</v>
      </c>
      <c r="J10" s="2">
        <v>1</v>
      </c>
      <c r="K10" s="6">
        <f t="shared" si="0"/>
        <v>6583.333333333333</v>
      </c>
      <c r="L10" s="6">
        <f t="shared" si="2"/>
        <v>7900</v>
      </c>
      <c r="M10" s="6">
        <f t="shared" si="3"/>
        <v>6320</v>
      </c>
      <c r="N10" s="6">
        <f t="shared" si="4"/>
        <v>19000</v>
      </c>
      <c r="O10">
        <f t="shared" si="5"/>
        <v>4500</v>
      </c>
      <c r="P10" t="b">
        <f t="shared" si="6"/>
        <v>0</v>
      </c>
      <c r="Q10" t="b">
        <f t="shared" si="7"/>
        <v>0</v>
      </c>
      <c r="R10" t="b">
        <f t="shared" si="8"/>
        <v>1</v>
      </c>
      <c r="S10" t="b">
        <f t="shared" si="9"/>
        <v>0</v>
      </c>
      <c r="T10" t="b">
        <f t="shared" si="10"/>
        <v>1</v>
      </c>
      <c r="U10" t="str">
        <f t="shared" si="11"/>
        <v>Eligible</v>
      </c>
      <c r="V10" t="str">
        <f t="shared" si="12"/>
        <v>Eligible</v>
      </c>
      <c r="W10" t="b">
        <f t="shared" si="1"/>
        <v>1</v>
      </c>
      <c r="X10" t="b">
        <f>OR(Answers!E10&gt;=80000,Answers!G10&gt;=4)</f>
        <v>0</v>
      </c>
      <c r="Y10" t="str">
        <f>"Emma Thomas"&amp;"-"&amp;"Finance"</f>
        <v>Emma Thomas-Finance</v>
      </c>
      <c r="Z10" t="b">
        <f t="shared" si="13"/>
        <v>0</v>
      </c>
      <c r="AA10" t="b">
        <f t="shared" si="14"/>
        <v>1</v>
      </c>
      <c r="AB10" s="6">
        <f>Table1[[#This Row],[Salary]]+4650</f>
        <v>83650</v>
      </c>
      <c r="AC10" s="6" t="b">
        <f>Table1[[#This Row],[ Salary + 5% increase]]&gt;80000</f>
        <v>1</v>
      </c>
      <c r="AD10" s="12" t="str">
        <f>IF(Table1[[#This Row],[Performance_Target_Met]]=1,"2000",0)</f>
        <v>2000</v>
      </c>
      <c r="AE10" t="b">
        <f>OR(Table1[[#This Row],[Attendance_Bonus_Eligible]]=1,Table1[[#This Row],[Performance_Target_Met]]=1,AND(Table1[[#This Row],[Salary]]&gt;=75000))</f>
        <v>1</v>
      </c>
    </row>
    <row r="11" spans="1:31" x14ac:dyDescent="0.3">
      <c r="A11" s="2">
        <v>1010</v>
      </c>
      <c r="B11" s="2" t="s">
        <v>27</v>
      </c>
      <c r="C11" s="2" t="s">
        <v>24</v>
      </c>
      <c r="D11" s="2" t="s">
        <v>25</v>
      </c>
      <c r="E11" s="3">
        <v>69000</v>
      </c>
      <c r="F11" s="4">
        <v>43437</v>
      </c>
      <c r="G11" s="2">
        <v>2</v>
      </c>
      <c r="H11" s="2">
        <v>1</v>
      </c>
      <c r="I11" s="2">
        <v>0</v>
      </c>
      <c r="J11" s="2">
        <v>0</v>
      </c>
      <c r="K11" s="6">
        <f t="shared" si="0"/>
        <v>5750</v>
      </c>
      <c r="L11" s="6">
        <f t="shared" si="2"/>
        <v>6900</v>
      </c>
      <c r="M11" s="6">
        <f t="shared" si="3"/>
        <v>5520</v>
      </c>
      <c r="N11" s="6">
        <f t="shared" si="4"/>
        <v>9000</v>
      </c>
      <c r="O11">
        <f t="shared" si="5"/>
        <v>3000</v>
      </c>
      <c r="P11" t="b">
        <f t="shared" si="6"/>
        <v>0</v>
      </c>
      <c r="Q11" t="b">
        <f t="shared" si="7"/>
        <v>0</v>
      </c>
      <c r="R11" t="b">
        <f t="shared" si="8"/>
        <v>1</v>
      </c>
      <c r="S11" t="b">
        <f t="shared" si="9"/>
        <v>0</v>
      </c>
      <c r="T11" t="b">
        <f t="shared" si="10"/>
        <v>1</v>
      </c>
      <c r="U11" t="str">
        <f t="shared" si="11"/>
        <v>Not Eligible</v>
      </c>
      <c r="V11" t="str">
        <f t="shared" si="12"/>
        <v>Not Eligible</v>
      </c>
      <c r="W11" t="b">
        <f t="shared" si="1"/>
        <v>1</v>
      </c>
      <c r="X11" t="b">
        <f>OR(Answers!E11&gt;=80000,Answers!G11&gt;=4)</f>
        <v>0</v>
      </c>
      <c r="Y11" t="str">
        <f>"Daniel White"&amp;"-"&amp;"Marketing"</f>
        <v>Daniel White-Marketing</v>
      </c>
      <c r="Z11" t="b">
        <f t="shared" si="13"/>
        <v>0</v>
      </c>
      <c r="AA11" t="b">
        <f t="shared" si="14"/>
        <v>0</v>
      </c>
      <c r="AB11" s="6">
        <f>Table1[[#This Row],[Salary]]+4650</f>
        <v>73650</v>
      </c>
      <c r="AC11" s="6" t="b">
        <f>Table1[[#This Row],[ Salary + 5% increase]]&gt;80000</f>
        <v>0</v>
      </c>
      <c r="AD11" s="12">
        <f>IF(Table1[[#This Row],[Performance_Target_Met]]=1,"2000",0)</f>
        <v>0</v>
      </c>
      <c r="AE11" t="b">
        <f>OR(Table1[[#This Row],[Attendance_Bonus_Eligible]]=1,Table1[[#This Row],[Performance_Target_Met]]=1,AND(Table1[[#This Row],[Salary]]&gt;=75000))</f>
        <v>0</v>
      </c>
    </row>
    <row r="12" spans="1:31" x14ac:dyDescent="0.3">
      <c r="A12" s="2">
        <v>1011</v>
      </c>
      <c r="B12" s="2" t="s">
        <v>28</v>
      </c>
      <c r="C12" s="2" t="s">
        <v>14</v>
      </c>
      <c r="D12" s="2" t="s">
        <v>15</v>
      </c>
      <c r="E12" s="3">
        <v>95000</v>
      </c>
      <c r="F12" s="4">
        <v>41746</v>
      </c>
      <c r="G12" s="2">
        <v>5</v>
      </c>
      <c r="H12" s="2">
        <v>5</v>
      </c>
      <c r="I12" s="2">
        <v>1</v>
      </c>
      <c r="J12" s="2">
        <v>1</v>
      </c>
      <c r="K12" s="6">
        <f t="shared" si="0"/>
        <v>7916.666666666667</v>
      </c>
      <c r="L12" s="6">
        <f t="shared" si="2"/>
        <v>9500</v>
      </c>
      <c r="M12" s="6">
        <f t="shared" si="3"/>
        <v>7600</v>
      </c>
      <c r="N12" s="6">
        <f t="shared" si="4"/>
        <v>35000</v>
      </c>
      <c r="O12">
        <f t="shared" si="5"/>
        <v>7500</v>
      </c>
      <c r="P12" t="b">
        <f t="shared" si="6"/>
        <v>1</v>
      </c>
      <c r="Q12" t="b">
        <f t="shared" si="7"/>
        <v>0</v>
      </c>
      <c r="R12" t="b">
        <f t="shared" si="8"/>
        <v>1</v>
      </c>
      <c r="S12" t="b">
        <f t="shared" si="9"/>
        <v>1</v>
      </c>
      <c r="T12" t="b">
        <f t="shared" si="10"/>
        <v>0</v>
      </c>
      <c r="U12" t="str">
        <f t="shared" si="11"/>
        <v>Eligible</v>
      </c>
      <c r="V12" t="str">
        <f t="shared" si="12"/>
        <v>Eligible</v>
      </c>
      <c r="W12" t="b">
        <f t="shared" si="1"/>
        <v>0</v>
      </c>
      <c r="X12" t="b">
        <f>OR(Answers!E12&gt;=80000,Answers!G12&gt;=4)</f>
        <v>1</v>
      </c>
      <c r="Y12" t="str">
        <f>"Mia Martin"&amp;"-"&amp;"IT"</f>
        <v>Mia Martin-IT</v>
      </c>
      <c r="Z12" t="b">
        <f t="shared" si="13"/>
        <v>1</v>
      </c>
      <c r="AA12" t="b">
        <f t="shared" si="14"/>
        <v>0</v>
      </c>
      <c r="AB12" s="6">
        <f>Table1[[#This Row],[Salary]]+4650</f>
        <v>99650</v>
      </c>
      <c r="AC12" s="6" t="b">
        <f>Table1[[#This Row],[ Salary + 5% increase]]&gt;80000</f>
        <v>1</v>
      </c>
      <c r="AD12" s="12" t="str">
        <f>IF(Table1[[#This Row],[Performance_Target_Met]]=1,"2000",0)</f>
        <v>2000</v>
      </c>
      <c r="AE12" t="b">
        <f>OR(Table1[[#This Row],[Attendance_Bonus_Eligible]]=1,Table1[[#This Row],[Performance_Target_Met]]=1,AND(Table1[[#This Row],[Salary]]&gt;=75000))</f>
        <v>1</v>
      </c>
    </row>
    <row r="13" spans="1:31" x14ac:dyDescent="0.3">
      <c r="A13" s="2">
        <v>1012</v>
      </c>
      <c r="B13" s="2" t="s">
        <v>29</v>
      </c>
      <c r="C13" s="2" t="s">
        <v>19</v>
      </c>
      <c r="D13" s="2" t="s">
        <v>20</v>
      </c>
      <c r="E13" s="3">
        <v>54000</v>
      </c>
      <c r="F13" s="4">
        <v>45078</v>
      </c>
      <c r="G13" s="2">
        <v>1</v>
      </c>
      <c r="H13" s="2">
        <v>1</v>
      </c>
      <c r="I13" s="2">
        <v>0</v>
      </c>
      <c r="J13" s="2">
        <v>0</v>
      </c>
      <c r="K13" s="6">
        <f t="shared" si="0"/>
        <v>4500</v>
      </c>
      <c r="L13" s="6">
        <f t="shared" si="2"/>
        <v>5400</v>
      </c>
      <c r="M13" s="6">
        <f t="shared" si="3"/>
        <v>4320</v>
      </c>
      <c r="N13" s="6">
        <f t="shared" si="4"/>
        <v>-6000</v>
      </c>
      <c r="O13">
        <f t="shared" si="5"/>
        <v>1500</v>
      </c>
      <c r="P13" t="b">
        <f t="shared" si="6"/>
        <v>0</v>
      </c>
      <c r="Q13" t="b">
        <f t="shared" si="7"/>
        <v>0</v>
      </c>
      <c r="R13" t="b">
        <f t="shared" si="8"/>
        <v>1</v>
      </c>
      <c r="S13" t="b">
        <f t="shared" si="9"/>
        <v>0</v>
      </c>
      <c r="T13" t="b">
        <f t="shared" si="10"/>
        <v>1</v>
      </c>
      <c r="U13" t="str">
        <f t="shared" si="11"/>
        <v>Not Eligible</v>
      </c>
      <c r="V13" t="str">
        <f t="shared" si="12"/>
        <v>Not Eligible</v>
      </c>
      <c r="W13" t="b">
        <f t="shared" si="1"/>
        <v>1</v>
      </c>
      <c r="X13" t="b">
        <f>OR(Answers!E13&gt;=80000,Answers!G13&gt;=4)</f>
        <v>0</v>
      </c>
      <c r="Y13" t="str">
        <f>"Noah Clark"&amp;"-"&amp;"HR"</f>
        <v>Noah Clark-HR</v>
      </c>
      <c r="Z13" t="b">
        <f t="shared" si="13"/>
        <v>0</v>
      </c>
      <c r="AA13" t="b">
        <f t="shared" si="14"/>
        <v>1</v>
      </c>
      <c r="AB13" s="6">
        <f>Table1[[#This Row],[Salary]]+4650</f>
        <v>58650</v>
      </c>
      <c r="AC13" s="6" t="b">
        <f>Table1[[#This Row],[ Salary + 5% increase]]&gt;80000</f>
        <v>0</v>
      </c>
      <c r="AD13" s="12">
        <f>IF(Table1[[#This Row],[Performance_Target_Met]]=1,"2000",0)</f>
        <v>0</v>
      </c>
      <c r="AE13" t="b">
        <f>OR(Table1[[#This Row],[Attendance_Bonus_Eligible]]=1,Table1[[#This Row],[Performance_Target_Met]]=1,AND(Table1[[#This Row],[Salary]]&gt;=75000))</f>
        <v>0</v>
      </c>
    </row>
    <row r="14" spans="1:31" x14ac:dyDescent="0.3">
      <c r="A14" s="2">
        <v>1013</v>
      </c>
      <c r="B14" s="2" t="s">
        <v>30</v>
      </c>
      <c r="C14" s="2" t="s">
        <v>31</v>
      </c>
      <c r="D14" s="2" t="s">
        <v>32</v>
      </c>
      <c r="E14" s="3">
        <v>72000</v>
      </c>
      <c r="F14" s="4">
        <v>44088</v>
      </c>
      <c r="G14" s="2">
        <v>4</v>
      </c>
      <c r="H14" s="2">
        <v>2</v>
      </c>
      <c r="I14" s="2">
        <v>1</v>
      </c>
      <c r="J14" s="2">
        <v>1</v>
      </c>
      <c r="K14" s="6">
        <f t="shared" si="0"/>
        <v>6000</v>
      </c>
      <c r="L14" s="6">
        <f t="shared" si="2"/>
        <v>7200</v>
      </c>
      <c r="M14" s="6">
        <f t="shared" si="3"/>
        <v>5760</v>
      </c>
      <c r="N14" s="6">
        <f t="shared" si="4"/>
        <v>12000</v>
      </c>
      <c r="O14">
        <f t="shared" si="5"/>
        <v>6000</v>
      </c>
      <c r="P14" t="b">
        <f t="shared" si="6"/>
        <v>0</v>
      </c>
      <c r="Q14" t="b">
        <f t="shared" si="7"/>
        <v>0</v>
      </c>
      <c r="R14" t="b">
        <f t="shared" si="8"/>
        <v>1</v>
      </c>
      <c r="S14" t="b">
        <f t="shared" si="9"/>
        <v>1</v>
      </c>
      <c r="T14" t="b">
        <f t="shared" si="10"/>
        <v>1</v>
      </c>
      <c r="U14" t="str">
        <f t="shared" si="11"/>
        <v>Not Eligible</v>
      </c>
      <c r="V14" t="str">
        <f t="shared" si="12"/>
        <v>Not Eligible</v>
      </c>
      <c r="W14" t="b">
        <f t="shared" si="1"/>
        <v>0</v>
      </c>
      <c r="X14" t="b">
        <f>OR(Answers!E14&gt;=80000,Answers!G14&gt;=4)</f>
        <v>1</v>
      </c>
      <c r="Y14" t="str">
        <f>"Isabella Lewis"&amp;"-"&amp;"Sales"</f>
        <v>Isabella Lewis-Sales</v>
      </c>
      <c r="Z14" t="b">
        <f t="shared" si="13"/>
        <v>0</v>
      </c>
      <c r="AA14" t="b">
        <f t="shared" si="14"/>
        <v>0</v>
      </c>
      <c r="AB14" s="6">
        <f>Table1[[#This Row],[Salary]]+4650</f>
        <v>76650</v>
      </c>
      <c r="AC14" s="6" t="b">
        <f>Table1[[#This Row],[ Salary + 5% increase]]&gt;80000</f>
        <v>0</v>
      </c>
      <c r="AD14" s="12" t="str">
        <f>IF(Table1[[#This Row],[Performance_Target_Met]]=1,"2000",0)</f>
        <v>2000</v>
      </c>
      <c r="AE14" t="b">
        <f>OR(Table1[[#This Row],[Attendance_Bonus_Eligible]]=1,Table1[[#This Row],[Performance_Target_Met]]=1,AND(Table1[[#This Row],[Salary]]&gt;=75000))</f>
        <v>1</v>
      </c>
    </row>
    <row r="15" spans="1:31" x14ac:dyDescent="0.3">
      <c r="A15" s="2">
        <v>1014</v>
      </c>
      <c r="B15" s="2" t="s">
        <v>33</v>
      </c>
      <c r="C15" s="2" t="s">
        <v>31</v>
      </c>
      <c r="D15" s="2" t="s">
        <v>32</v>
      </c>
      <c r="E15" s="3">
        <v>81000</v>
      </c>
      <c r="F15" s="4">
        <v>43038</v>
      </c>
      <c r="G15" s="2">
        <v>3</v>
      </c>
      <c r="H15" s="2">
        <v>3</v>
      </c>
      <c r="I15" s="2">
        <v>0</v>
      </c>
      <c r="J15" s="2">
        <v>1</v>
      </c>
      <c r="K15" s="6">
        <f t="shared" si="0"/>
        <v>6750</v>
      </c>
      <c r="L15" s="6">
        <f t="shared" si="2"/>
        <v>8100</v>
      </c>
      <c r="M15" s="6">
        <f t="shared" si="3"/>
        <v>6480</v>
      </c>
      <c r="N15" s="6">
        <f t="shared" si="4"/>
        <v>21000</v>
      </c>
      <c r="O15">
        <f t="shared" si="5"/>
        <v>4500</v>
      </c>
      <c r="P15" t="b">
        <f t="shared" si="6"/>
        <v>1</v>
      </c>
      <c r="Q15" t="b">
        <f t="shared" si="7"/>
        <v>0</v>
      </c>
      <c r="R15" t="b">
        <f t="shared" si="8"/>
        <v>1</v>
      </c>
      <c r="S15" t="b">
        <f t="shared" si="9"/>
        <v>0</v>
      </c>
      <c r="T15" t="b">
        <f t="shared" si="10"/>
        <v>0</v>
      </c>
      <c r="U15" t="str">
        <f t="shared" si="11"/>
        <v>Eligible</v>
      </c>
      <c r="V15" t="str">
        <f t="shared" si="12"/>
        <v>Not Eligible</v>
      </c>
      <c r="W15" t="b">
        <f t="shared" si="1"/>
        <v>1</v>
      </c>
      <c r="X15" t="b">
        <f>OR(Answers!E15&gt;=80000,Answers!G15&gt;=4)</f>
        <v>1</v>
      </c>
      <c r="Y15" t="str">
        <f>"Ethan Walker"&amp;"-"&amp;"Sales"</f>
        <v>Ethan Walker-Sales</v>
      </c>
      <c r="Z15" t="b">
        <f t="shared" si="13"/>
        <v>0</v>
      </c>
      <c r="AA15" t="b">
        <f t="shared" si="14"/>
        <v>0</v>
      </c>
      <c r="AB15" s="6">
        <f>Table1[[#This Row],[Salary]]+4650</f>
        <v>85650</v>
      </c>
      <c r="AC15" s="6" t="b">
        <f>Table1[[#This Row],[ Salary + 5% increase]]&gt;80000</f>
        <v>1</v>
      </c>
      <c r="AD15" s="12" t="str">
        <f>IF(Table1[[#This Row],[Performance_Target_Met]]=1,"2000",0)</f>
        <v>2000</v>
      </c>
      <c r="AE15" t="b">
        <f>OR(Table1[[#This Row],[Attendance_Bonus_Eligible]]=1,Table1[[#This Row],[Performance_Target_Met]]=1,AND(Table1[[#This Row],[Salary]]&gt;=75000))</f>
        <v>1</v>
      </c>
    </row>
    <row r="16" spans="1:31" x14ac:dyDescent="0.3">
      <c r="A16" s="2">
        <v>1015</v>
      </c>
      <c r="B16" s="2" t="s">
        <v>34</v>
      </c>
      <c r="C16" s="2" t="s">
        <v>11</v>
      </c>
      <c r="D16" s="2" t="s">
        <v>12</v>
      </c>
      <c r="E16" s="3">
        <v>66000</v>
      </c>
      <c r="F16" s="4">
        <v>44585</v>
      </c>
      <c r="G16" s="2">
        <v>2</v>
      </c>
      <c r="H16" s="2">
        <v>2</v>
      </c>
      <c r="I16" s="2">
        <v>1</v>
      </c>
      <c r="J16" s="2">
        <v>0</v>
      </c>
      <c r="K16" s="6">
        <f t="shared" si="0"/>
        <v>5500</v>
      </c>
      <c r="L16" s="6">
        <f t="shared" si="2"/>
        <v>6600</v>
      </c>
      <c r="M16" s="6">
        <f t="shared" si="3"/>
        <v>5280</v>
      </c>
      <c r="N16" s="6">
        <f t="shared" si="4"/>
        <v>6000</v>
      </c>
      <c r="O16">
        <f t="shared" si="5"/>
        <v>3000</v>
      </c>
      <c r="P16" t="b">
        <f t="shared" si="6"/>
        <v>0</v>
      </c>
      <c r="Q16" t="b">
        <f t="shared" si="7"/>
        <v>0</v>
      </c>
      <c r="R16" t="b">
        <f t="shared" si="8"/>
        <v>1</v>
      </c>
      <c r="S16" t="b">
        <f t="shared" si="9"/>
        <v>0</v>
      </c>
      <c r="T16" t="b">
        <f t="shared" si="10"/>
        <v>1</v>
      </c>
      <c r="U16" t="str">
        <f t="shared" si="11"/>
        <v>Not Eligible</v>
      </c>
      <c r="V16" t="str">
        <f t="shared" si="12"/>
        <v>Eligible</v>
      </c>
      <c r="W16" t="b">
        <f t="shared" si="1"/>
        <v>0</v>
      </c>
      <c r="X16" t="b">
        <f>OR(Answers!E16&gt;=80000,Answers!G16&gt;=4)</f>
        <v>0</v>
      </c>
      <c r="Y16" t="str">
        <f>"Amelia Hall"&amp;"-"&amp;"Finance"</f>
        <v>Amelia Hall-Finance</v>
      </c>
      <c r="Z16" t="b">
        <f t="shared" si="13"/>
        <v>0</v>
      </c>
      <c r="AA16" t="b">
        <f t="shared" si="14"/>
        <v>1</v>
      </c>
      <c r="AB16" s="6">
        <f>Table1[[#This Row],[Salary]]+4650</f>
        <v>70650</v>
      </c>
      <c r="AC16" s="6" t="b">
        <f>Table1[[#This Row],[ Salary + 5% increase]]&gt;80000</f>
        <v>0</v>
      </c>
      <c r="AD16" s="12">
        <f>IF(Table1[[#This Row],[Performance_Target_Met]]=1,"2000",0)</f>
        <v>0</v>
      </c>
      <c r="AE16" t="b">
        <f>OR(Table1[[#This Row],[Attendance_Bonus_Eligible]]=1,Table1[[#This Row],[Performance_Target_Met]]=1,AND(Table1[[#This Row],[Salary]]&gt;=75000))</f>
        <v>1</v>
      </c>
    </row>
    <row r="17" spans="2:17" x14ac:dyDescent="0.3">
      <c r="M17" s="6"/>
    </row>
    <row r="18" spans="2:17" x14ac:dyDescent="0.3">
      <c r="M18" s="6"/>
    </row>
    <row r="19" spans="2:17" x14ac:dyDescent="0.3">
      <c r="B19" t="s">
        <v>92</v>
      </c>
      <c r="C19" s="6">
        <f>E2*5/100</f>
        <v>4650</v>
      </c>
      <c r="Q19">
        <f>93000*5%</f>
        <v>4650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Homework</vt:lpstr>
      <vt:lpstr>Instructions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Theslin Fathima</cp:lastModifiedBy>
  <dcterms:created xsi:type="dcterms:W3CDTF">2026-10-09T17:08:42Z</dcterms:created>
  <dcterms:modified xsi:type="dcterms:W3CDTF">2026-10-29T12:30:16Z</dcterms:modified>
</cp:coreProperties>
</file>